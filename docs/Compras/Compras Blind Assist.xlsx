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compra" sheetId="1" r:id="rId4"/>
  </sheets>
  <definedNames/>
  <calcPr/>
</workbook>
</file>

<file path=xl/sharedStrings.xml><?xml version="1.0" encoding="utf-8"?>
<sst xmlns="http://schemas.openxmlformats.org/spreadsheetml/2006/main" count="91" uniqueCount="50">
  <si>
    <t>Planilla de compras Proyectos de 7mo Aviónica</t>
  </si>
  <si>
    <t>Nombre del Proyecto</t>
  </si>
  <si>
    <t>Blind Assist</t>
  </si>
  <si>
    <t>Alumnos Responsables:</t>
  </si>
  <si>
    <t>AVIÓNICA</t>
  </si>
  <si>
    <t>Ramiro Castillo</t>
  </si>
  <si>
    <t>castilloramiro06@gmail.com</t>
  </si>
  <si>
    <t>Tiago Quatrocchi</t>
  </si>
  <si>
    <t>tiago4cchi@gmail.com</t>
  </si>
  <si>
    <t>Item</t>
  </si>
  <si>
    <t>Cant.</t>
  </si>
  <si>
    <t>Nombre del producto</t>
  </si>
  <si>
    <t>Detalle del pedido</t>
  </si>
  <si>
    <t>Link:</t>
  </si>
  <si>
    <t>Precio por unidad</t>
  </si>
  <si>
    <t>Sub Total</t>
  </si>
  <si>
    <t>Fecha de solicitud</t>
  </si>
  <si>
    <t>Tutores</t>
  </si>
  <si>
    <t>Jefe de Área</t>
  </si>
  <si>
    <t>Cooperadora</t>
  </si>
  <si>
    <t>Aprobado</t>
  </si>
  <si>
    <t>Fecha de aprobación</t>
  </si>
  <si>
    <t>Estado</t>
  </si>
  <si>
    <t>Fecha de entrega</t>
  </si>
  <si>
    <t>Fuente Switching Buck Step Down Dc Dc 5a</t>
  </si>
  <si>
    <t>Fuente switching buck step-down DC-DC 5A, convierte voltajes altos en 5 V eficientes para alimentar dispositivos de alto consumo.</t>
  </si>
  <si>
    <t>https://www.mercadolibre.com.ar/fuente-switching-buck-step-down-dc-dc-5a-arduino/p/MLA46825419?pdp_filters=item_id%3AMLA2026143448&amp;from=gshop&amp;matt_tool=59638352&amp;matt_word=&amp;matt_source=google&amp;matt_campaign_id=22107887478&amp;matt_ad_group_id=173357593436&amp;matt_match_type=&amp;matt_network=g&amp;matt_device=c&amp;matt_creative=729634821029&amp;matt_keyword=&amp;matt_ad_position=&amp;matt_ad_type=pla&amp;matt_merchant_id=735114561&amp;matt_product_id=MLA46825419-product&amp;matt_product_partition_id=2389865440508&amp;matt_target_id=aud-1928690346655:pla-2389865440508&amp;cq_src=google_ads&amp;cq_cmp=22107887478&amp;cq_net=g&amp;cq_plt=gp&amp;cq_med=pla&amp;gad_source=1&amp;gad_campaignid=22107887478&amp;gbraid=0AAAAAD01zQY1TYbEdP4rdMjsQci04yXvt&amp;gclid=Cj0KCQjwrPHABhCIARIsAFW2XBOWF3UqNeXHblFJMiG0sMinhZVyXKkziI7pzunWEmdGijLPeiqPdjEaAvVMEALw_wcB</t>
  </si>
  <si>
    <t>VERDADERO</t>
  </si>
  <si>
    <t>Comprado</t>
  </si>
  <si>
    <t>Raspberry Pi 4</t>
  </si>
  <si>
    <t>Minicomputadora de alto rendimiento usada para desarrollo y control de sistemas embebidos.</t>
  </si>
  <si>
    <t>https://tienda.starware.com.ar/producto/placa-sbc-raspberry-pi-4-model-b-8gb-ram/</t>
  </si>
  <si>
    <t>Presupuestando</t>
  </si>
  <si>
    <t>TF mini S LIDAR</t>
  </si>
  <si>
    <t>sensor de distancia basado en tecnología láser, útil para medición precisa y detección de objetos.</t>
  </si>
  <si>
    <r>
      <rPr>
        <color rgb="FF1155CC"/>
        <u/>
      </rPr>
      <t>https://tienda.starware.com.ar/producto/modulo-sensor-rango-lidar-tfmini-s-laser/</t>
    </r>
    <r>
      <rPr/>
      <t xml:space="preserve"> </t>
    </r>
  </si>
  <si>
    <t>Rspberry PI Cam V2</t>
  </si>
  <si>
    <t>Cámara oficial para Raspberry Pi, utilizada para captura de imágenes y video</t>
  </si>
  <si>
    <r>
      <rPr>
        <color rgb="FF1155CC"/>
        <u/>
      </rPr>
      <t>https://tienda.starware.com.ar/producto/camara-modulo-raspberry-pi-cam-v13-5mp-pi-a2345zero/</t>
    </r>
    <r>
      <rPr/>
      <t xml:space="preserve"> </t>
    </r>
  </si>
  <si>
    <t>Caja X 2u. Pilas 3.7v 7800 Mah</t>
  </si>
  <si>
    <t>Las baterías Li-ion son recargables, de alta densidad energética y comúnmente usadas en dispositivos electrónicos por su eficiencia y larga vida útil.</t>
  </si>
  <si>
    <t>https://articulo.mercadolibre.com.ar/MLA-1413009421-caja-x-2u-pilas-37v-7800-mah-_JM#polycard_client=recommendations_vip-v2p&amp;reco_backend=ranker_retrieval_online_vpp_v2p_coldstart&amp;reco_model=rk_online_v0_retsys_vpp_v2p&amp;reco_client=vip-v2p&amp;reco_item_pos=0&amp;reco_backend_type=low_level&amp;reco_id=373ff96e-1913-4791-b310-ade69f28bf00</t>
  </si>
  <si>
    <t>Portapilas Porta Pilas Doble 2 Pilas Bateria 18650 Esquelet</t>
  </si>
  <si>
    <t>Un portador de pilas doble es un soporte diseñado para alojar y conectar dos pilas, facilitando su uso en circuitos eléctricos.</t>
  </si>
  <si>
    <t>https://articulo.mercadolibre.com.ar/MLA-1292492331-portapilas-porta-pilas-doble-2-pilas-bateria-18650-esquelet-_JM#polycard_client=search-nordic&amp;position=5&amp;search_layout=stack&amp;type=item&amp;tracking_id=77a38f0d-ace9-46f6-9482-db2752971982&amp;wid=MLA1292492331&amp;sid=search</t>
  </si>
  <si>
    <t>Adaptador seriettl a uart</t>
  </si>
  <si>
    <t>El CP2102 es un controlador de puente USB a UART, que proporciona una solución sencilla para actualizar diseños RS-232 a USB utilizando un mínimo de componentes y espacio PCB. Viene con un controlador de función de velocidad completa USB 2.0. No se necesitan componentes USB externos.</t>
  </si>
  <si>
    <t xml:space="preserve">https://tienda.starware.com.ar/producto/modulo-conversor-usb-a-serie-diy-cp2102-ttl-485-33v-5v/ </t>
  </si>
  <si>
    <t>Total:</t>
  </si>
  <si>
    <t>Gastado: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</si>
</sst>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 H:mm: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31.0"/>
      <color theme="1"/>
      <name val="Arial"/>
      <scheme val="minor"/>
    </font>
    <font>
      <b/>
      <sz val="14.0"/>
      <color theme="1"/>
      <name val="Arial"/>
      <scheme val="minor"/>
    </font>
    <font/>
    <font>
      <b/>
      <sz val="51.0"/>
      <color theme="1"/>
      <name val="Arial"/>
      <scheme val="minor"/>
    </font>
    <font>
      <b/>
      <sz val="16.0"/>
      <color theme="1"/>
      <name val="Arial"/>
      <scheme val="minor"/>
    </font>
    <font>
      <b/>
      <sz val="40.0"/>
      <color theme="1"/>
      <name val="Arial"/>
      <scheme val="minor"/>
    </font>
    <font>
      <sz val="17.0"/>
      <color theme="1"/>
      <name val="Arial"/>
      <scheme val="minor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  <font>
      <sz val="18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2" fontId="5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shrinkToFit="0" vertical="center" wrapText="0"/>
    </xf>
    <xf borderId="3" fillId="0" fontId="4" numFmtId="0" xfId="0" applyBorder="1" applyFont="1"/>
    <xf borderId="2" fillId="0" fontId="4" numFmtId="0" xfId="0" applyBorder="1" applyFont="1"/>
    <xf borderId="1" fillId="0" fontId="7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4" fontId="8" numFmtId="0" xfId="0" applyAlignment="1" applyBorder="1" applyFill="1" applyFont="1">
      <alignment horizontal="left" readingOrder="0" vertical="center"/>
    </xf>
    <xf borderId="7" fillId="0" fontId="4" numFmtId="0" xfId="0" applyBorder="1" applyFont="1"/>
    <xf borderId="6" fillId="0" fontId="1" numFmtId="0" xfId="0" applyAlignment="1" applyBorder="1" applyFont="1">
      <alignment horizontal="left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4" fontId="8" numFmtId="0" xfId="0" applyAlignment="1" applyBorder="1" applyFont="1">
      <alignment horizontal="left" readingOrder="0" vertical="center"/>
    </xf>
    <xf borderId="12" fillId="0" fontId="4" numFmtId="0" xfId="0" applyBorder="1" applyFont="1"/>
    <xf borderId="11" fillId="0" fontId="1" numFmtId="0" xfId="0" applyAlignment="1" applyBorder="1" applyFont="1">
      <alignment horizontal="left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6" fillId="6" fontId="9" numFmtId="0" xfId="0" applyAlignment="1" applyBorder="1" applyFont="1">
      <alignment horizontal="center" readingOrder="0" vertical="center"/>
    </xf>
    <xf borderId="3" fillId="6" fontId="9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1"/>
    </xf>
    <xf borderId="16" fillId="6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readingOrder="0" shrinkToFit="0" vertical="center" wrapText="1"/>
    </xf>
    <xf borderId="5" fillId="6" fontId="10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4" fillId="8" fontId="10" numFmtId="0" xfId="0" applyAlignment="1" applyBorder="1" applyFill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vertical="center"/>
    </xf>
    <xf borderId="10" fillId="0" fontId="4" numFmtId="0" xfId="0" applyBorder="1" applyFont="1"/>
    <xf borderId="17" fillId="0" fontId="4" numFmtId="0" xfId="0" applyBorder="1" applyFont="1"/>
    <xf borderId="1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6" fillId="7" fontId="10" numFmtId="0" xfId="0" applyAlignment="1" applyBorder="1" applyFont="1">
      <alignment horizontal="center" readingOrder="0" shrinkToFit="0" vertical="center" wrapText="1"/>
    </xf>
    <xf borderId="3" fillId="7" fontId="10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6" fillId="8" fontId="10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readingOrder="0" vertical="center"/>
    </xf>
    <xf borderId="16" fillId="3" fontId="11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8" fillId="0" fontId="4" numFmtId="0" xfId="0" applyBorder="1" applyFont="1"/>
    <xf borderId="18" fillId="0" fontId="4" numFmtId="0" xfId="0" applyBorder="1" applyFont="1"/>
    <xf borderId="9" fillId="0" fontId="4" numFmtId="0" xfId="0" applyBorder="1" applyFont="1"/>
    <xf borderId="18" fillId="0" fontId="4" numFmtId="0" xfId="0" applyBorder="1" applyFont="1"/>
    <xf borderId="0" fillId="0" fontId="12" numFmtId="0" xfId="0" applyFont="1"/>
    <xf borderId="19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readingOrder="0" vertical="center"/>
    </xf>
    <xf borderId="19" fillId="0" fontId="1" numFmtId="0" xfId="0" applyAlignment="1" applyBorder="1" applyFont="1">
      <alignment readingOrder="0" vertical="center"/>
    </xf>
    <xf borderId="21" fillId="0" fontId="1" numFmtId="0" xfId="0" applyAlignment="1" applyBorder="1" applyFont="1">
      <alignment readingOrder="0"/>
    </xf>
    <xf borderId="22" fillId="0" fontId="13" numFmtId="0" xfId="0" applyAlignment="1" applyBorder="1" applyFont="1">
      <alignment readingOrder="0" shrinkToFit="0" vertical="center" wrapText="0"/>
    </xf>
    <xf borderId="23" fillId="0" fontId="4" numFmtId="0" xfId="0" applyBorder="1" applyFont="1"/>
    <xf borderId="19" fillId="0" fontId="1" numFmtId="164" xfId="0" applyAlignment="1" applyBorder="1" applyFont="1" applyNumberFormat="1">
      <alignment readingOrder="0" shrinkToFit="0" vertical="center" wrapText="1"/>
    </xf>
    <xf borderId="21" fillId="0" fontId="1" numFmtId="164" xfId="0" applyAlignment="1" applyBorder="1" applyFont="1" applyNumberFormat="1">
      <alignment vertical="center"/>
    </xf>
    <xf borderId="19" fillId="0" fontId="1" numFmtId="165" xfId="0" applyAlignment="1" applyBorder="1" applyFont="1" applyNumberFormat="1">
      <alignment vertical="center"/>
    </xf>
    <xf borderId="19" fillId="0" fontId="1" numFmtId="0" xfId="0" applyAlignment="1" applyBorder="1" applyFont="1">
      <alignment readingOrder="0" vertical="center"/>
    </xf>
    <xf borderId="24" fillId="0" fontId="1" numFmtId="165" xfId="0" applyAlignment="1" applyBorder="1" applyFont="1" applyNumberFormat="1">
      <alignment vertical="center"/>
    </xf>
    <xf borderId="21" fillId="0" fontId="1" numFmtId="0" xfId="0" applyAlignment="1" applyBorder="1" applyFont="1">
      <alignment horizontal="center" readingOrder="0" vertical="center"/>
    </xf>
    <xf borderId="25" fillId="0" fontId="1" numFmtId="165" xfId="0" applyAlignment="1" applyBorder="1" applyFont="1" applyNumberFormat="1">
      <alignment vertical="center"/>
    </xf>
    <xf borderId="19" fillId="3" fontId="14" numFmtId="0" xfId="0" applyAlignment="1" applyBorder="1" applyFont="1">
      <alignment readingOrder="0" vertical="center"/>
    </xf>
    <xf borderId="23" fillId="3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26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readingOrder="0" vertical="center"/>
    </xf>
    <xf borderId="24" fillId="0" fontId="1" numFmtId="0" xfId="0" applyAlignment="1" applyBorder="1" applyFont="1">
      <alignment readingOrder="0" vertical="center"/>
    </xf>
    <xf borderId="27" fillId="0" fontId="1" numFmtId="0" xfId="0" applyAlignment="1" applyBorder="1" applyFont="1">
      <alignment readingOrder="0"/>
    </xf>
    <xf borderId="4" fillId="0" fontId="15" numFmtId="0" xfId="0" applyAlignment="1" applyBorder="1" applyFont="1">
      <alignment readingOrder="0" shrinkToFit="0" vertical="center" wrapText="0"/>
    </xf>
    <xf borderId="0" fillId="9" fontId="16" numFmtId="164" xfId="0" applyAlignment="1" applyFill="1" applyFont="1" applyNumberFormat="1">
      <alignment readingOrder="0"/>
    </xf>
    <xf borderId="25" fillId="0" fontId="1" numFmtId="164" xfId="0" applyAlignment="1" applyBorder="1" applyFont="1" applyNumberFormat="1">
      <alignment vertical="center"/>
    </xf>
    <xf borderId="28" fillId="0" fontId="1" numFmtId="165" xfId="0" applyAlignment="1" applyBorder="1" applyFont="1" applyNumberFormat="1">
      <alignment vertical="center"/>
    </xf>
    <xf borderId="26" fillId="3" fontId="14" numFmtId="0" xfId="0" applyAlignment="1" applyBorder="1" applyFont="1">
      <alignment readingOrder="0" vertical="center"/>
    </xf>
    <xf borderId="29" fillId="3" fontId="1" numFmtId="165" xfId="0" applyAlignment="1" applyBorder="1" applyFont="1" applyNumberFormat="1">
      <alignment vertical="center"/>
    </xf>
    <xf borderId="28" fillId="0" fontId="17" numFmtId="0" xfId="0" applyAlignment="1" applyBorder="1" applyFont="1">
      <alignment readingOrder="0" shrinkToFit="0" vertical="center" wrapText="0"/>
    </xf>
    <xf borderId="29" fillId="0" fontId="4" numFmtId="0" xfId="0" applyBorder="1" applyFont="1"/>
    <xf borderId="26" fillId="0" fontId="1" numFmtId="164" xfId="0" applyAlignment="1" applyBorder="1" applyFont="1" applyNumberFormat="1">
      <alignment readingOrder="0" shrinkToFit="0" vertical="center" wrapText="1"/>
    </xf>
    <xf borderId="26" fillId="0" fontId="1" numFmtId="0" xfId="0" applyAlignment="1" applyBorder="1" applyFont="1">
      <alignment readingOrder="0" vertical="center"/>
    </xf>
    <xf borderId="0" fillId="0" fontId="18" numFmtId="0" xfId="0" applyAlignment="1" applyFont="1">
      <alignment readingOrder="0" shrinkToFit="0" vertical="center" wrapText="0"/>
    </xf>
    <xf borderId="24" fillId="0" fontId="1" numFmtId="0" xfId="0" applyAlignment="1" applyBorder="1" applyFont="1">
      <alignment vertical="center"/>
    </xf>
    <xf borderId="28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readingOrder="0" shrinkToFit="0" vertical="center" wrapText="0"/>
    </xf>
    <xf borderId="27" fillId="0" fontId="1" numFmtId="0" xfId="0" applyAlignment="1" applyBorder="1" applyFont="1">
      <alignment readingOrder="0" vertical="center"/>
    </xf>
    <xf borderId="26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26" fillId="0" fontId="1" numFmtId="164" xfId="0" applyAlignment="1" applyBorder="1" applyFont="1" applyNumberFormat="1">
      <alignment shrinkToFit="0" vertical="center" wrapText="1"/>
    </xf>
    <xf borderId="26" fillId="0" fontId="1" numFmtId="0" xfId="0" applyAlignment="1" applyBorder="1" applyFont="1">
      <alignment vertical="center"/>
    </xf>
    <xf borderId="29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readingOrder="0" shrinkToFit="0" vertical="center" wrapText="1"/>
    </xf>
    <xf borderId="29" fillId="0" fontId="1" numFmtId="0" xfId="0" applyAlignment="1" applyBorder="1" applyFont="1">
      <alignment readingOrder="0" shrinkToFit="0" vertical="center" wrapText="1"/>
    </xf>
    <xf borderId="28" fillId="0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readingOrder="0" vertical="center"/>
    </xf>
    <xf borderId="30" fillId="0" fontId="1" numFmtId="0" xfId="0" applyAlignment="1" applyBorder="1" applyFont="1">
      <alignment readingOrder="0" vertical="center"/>
    </xf>
    <xf borderId="30" fillId="0" fontId="1" numFmtId="0" xfId="0" applyAlignment="1" applyBorder="1" applyFont="1">
      <alignment vertical="center"/>
    </xf>
    <xf borderId="32" fillId="0" fontId="1" numFmtId="0" xfId="0" applyAlignment="1" applyBorder="1" applyFont="1">
      <alignment shrinkToFit="0" vertical="center" wrapText="1"/>
    </xf>
    <xf borderId="33" fillId="0" fontId="4" numFmtId="0" xfId="0" applyBorder="1" applyFont="1"/>
    <xf borderId="30" fillId="0" fontId="1" numFmtId="164" xfId="0" applyAlignment="1" applyBorder="1" applyFont="1" applyNumberFormat="1">
      <alignment readingOrder="0" shrinkToFit="0" vertical="center" wrapText="1"/>
    </xf>
    <xf borderId="18" fillId="0" fontId="1" numFmtId="165" xfId="0" applyAlignment="1" applyBorder="1" applyFont="1" applyNumberFormat="1">
      <alignment vertical="center"/>
    </xf>
    <xf borderId="18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horizontal="center" vertical="center"/>
    </xf>
    <xf borderId="32" fillId="0" fontId="1" numFmtId="165" xfId="0" applyAlignment="1" applyBorder="1" applyFont="1" applyNumberFormat="1">
      <alignment vertical="center"/>
    </xf>
    <xf borderId="30" fillId="3" fontId="14" numFmtId="0" xfId="0" applyAlignment="1" applyBorder="1" applyFont="1">
      <alignment readingOrder="0" vertical="center"/>
    </xf>
    <xf borderId="33" fillId="3" fontId="1" numFmtId="165" xfId="0" applyAlignment="1" applyBorder="1" applyFont="1" applyNumberFormat="1">
      <alignment vertical="center"/>
    </xf>
    <xf borderId="18" fillId="0" fontId="3" numFmtId="0" xfId="0" applyAlignment="1" applyBorder="1" applyFont="1">
      <alignment horizontal="center" readingOrder="0" vertical="center"/>
    </xf>
    <xf borderId="34" fillId="0" fontId="8" numFmtId="16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12" numFmtId="164" xfId="0" applyFont="1" applyNumberFormat="1"/>
    <xf borderId="4" fillId="0" fontId="1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133350</xdr:colOff>
      <xdr:row>3</xdr:row>
      <xdr:rowOff>57150</xdr:rowOff>
    </xdr:from>
    <xdr:ext cx="828675" cy="504825"/>
    <xdr:grpSp>
      <xdr:nvGrpSpPr>
        <xdr:cNvPr id="2" name="Shape 2" title="Dibujo"/>
        <xdr:cNvGrpSpPr/>
      </xdr:nvGrpSpPr>
      <xdr:grpSpPr>
        <a:xfrm>
          <a:off x="2065500" y="735600"/>
          <a:ext cx="1744625" cy="1035300"/>
          <a:chOff x="2065500" y="735600"/>
          <a:chExt cx="1744625" cy="1035300"/>
        </a:xfrm>
      </xdr:grpSpPr>
      <xdr:sp>
        <xdr:nvSpPr>
          <xdr:cNvPr id="3" name="Shape 3"/>
          <xdr:cNvSpPr/>
        </xdr:nvSpPr>
        <xdr:spPr>
          <a:xfrm>
            <a:off x="2065500" y="735600"/>
            <a:ext cx="1744500" cy="1035300"/>
          </a:xfrm>
          <a:prstGeom prst="roundRect">
            <a:avLst>
              <a:gd fmla="val 16667" name="adj"/>
            </a:avLst>
          </a:prstGeom>
          <a:solidFill>
            <a:srgbClr val="B6D7A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440975" y="1182250"/>
            <a:ext cx="40500" cy="30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065625" y="782850"/>
            <a:ext cx="17445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Actualización de Estado</a:t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fuente-switching-buck-step-down-dc-dc-5a-arduino/p/MLA46825419?pdp_filters=item_id%3AMLA2026143448&amp;from=gshop&amp;matt_tool=59638352&amp;matt_word=&amp;matt_source=google&amp;matt_campaign_id=22107887478&amp;matt_ad_group_id=173357593436&amp;matt_match_type=&amp;matt_network=g&amp;matt_device=c&amp;matt_creative=729634821029&amp;matt_keyword=&amp;matt_ad_position=&amp;matt_ad_type=pla&amp;matt_merchant_id=735114561&amp;matt_product_id=MLA46825419-product&amp;matt_product_partition_id=2389865440508&amp;matt_target_id=aud-1928690346655:pla-2389865440508&amp;cq_src=google_ads&amp;cq_cmp=22107887478&amp;cq_net=g&amp;cq_plt=gp&amp;cq_med=pla&amp;gad_source=1&amp;gad_campaignid=22107887478&amp;gbraid=0AAAAAD01zQY1TYbEdP4rdMjsQci04yXvt&amp;gclid=Cj0KCQjwrPHABhCIARIsAFW2XBOWF3UqNeXHblFJMiG0sMinhZVyXKkziI7pzunWEmdGijLPeiqPdjEaAvVMEALw_wcB" TargetMode="External"/><Relationship Id="rId2" Type="http://schemas.openxmlformats.org/officeDocument/2006/relationships/hyperlink" Target="https://tienda.starware.com.ar/producto/placa-sbc-raspberry-pi-4-model-b-8gb-ram/" TargetMode="External"/><Relationship Id="rId3" Type="http://schemas.openxmlformats.org/officeDocument/2006/relationships/hyperlink" Target="https://tienda.starware.com.ar/producto/modulo-sensor-rango-lidar-tfmini-s-laser/" TargetMode="External"/><Relationship Id="rId4" Type="http://schemas.openxmlformats.org/officeDocument/2006/relationships/hyperlink" Target="https://tienda.starware.com.ar/producto/camara-modulo-raspberry-pi-cam-v13-5mp-pi-a2345zero/" TargetMode="External"/><Relationship Id="rId5" Type="http://schemas.openxmlformats.org/officeDocument/2006/relationships/hyperlink" Target="https://articulo.mercadolibre.com.ar/MLA-1413009421-caja-x-2u-pilas-37v-7800-mah-_JM" TargetMode="External"/><Relationship Id="rId6" Type="http://schemas.openxmlformats.org/officeDocument/2006/relationships/hyperlink" Target="https://articulo.mercadolibre.com.ar/MLA-1292492331-portapilas-porta-pilas-doble-2-pilas-bateria-18650-esquelet-_JM" TargetMode="External"/><Relationship Id="rId7" Type="http://schemas.openxmlformats.org/officeDocument/2006/relationships/hyperlink" Target="https://tienda.starware.com.ar/producto/modulo-conversor-usb-a-serie-diy-cp2102-ttl-485-33v-5v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5.75"/>
    <col customWidth="1" min="3" max="3" width="40.63"/>
    <col customWidth="1" min="4" max="4" width="74.25"/>
    <col customWidth="1" min="6" max="6" width="37.0"/>
    <col customWidth="1" min="8" max="8" width="16.88"/>
    <col customWidth="1" min="9" max="9" width="16.38"/>
    <col customWidth="1" min="11" max="11" width="15.38"/>
    <col customWidth="1" min="13" max="13" width="15.63"/>
    <col customWidth="1" min="15" max="15" width="14.5"/>
  </cols>
  <sheetData>
    <row r="1">
      <c r="A1" s="1"/>
    </row>
    <row r="2">
      <c r="A2" s="2" t="s">
        <v>0</v>
      </c>
    </row>
    <row r="3" ht="15.0" customHeight="1">
      <c r="A3" s="1"/>
    </row>
    <row r="4" ht="24.0" customHeight="1">
      <c r="A4" s="3" t="s">
        <v>1</v>
      </c>
      <c r="B4" s="4"/>
      <c r="C4" s="5" t="s">
        <v>2</v>
      </c>
      <c r="D4" s="4"/>
      <c r="E4" s="6" t="s">
        <v>3</v>
      </c>
      <c r="F4" s="7"/>
      <c r="G4" s="7"/>
      <c r="H4" s="8"/>
      <c r="I4" s="9" t="s">
        <v>4</v>
      </c>
      <c r="J4" s="7"/>
      <c r="K4" s="7"/>
      <c r="L4" s="7"/>
      <c r="M4" s="7"/>
      <c r="N4" s="7"/>
      <c r="O4" s="8"/>
    </row>
    <row r="5" ht="24.0" customHeight="1">
      <c r="A5" s="10"/>
      <c r="B5" s="11"/>
      <c r="D5" s="11"/>
      <c r="E5" s="12" t="s">
        <v>5</v>
      </c>
      <c r="F5" s="13"/>
      <c r="G5" s="14" t="s">
        <v>6</v>
      </c>
      <c r="H5" s="13"/>
      <c r="I5" s="15"/>
      <c r="J5" s="16"/>
      <c r="K5" s="16"/>
      <c r="L5" s="16"/>
      <c r="M5" s="16"/>
      <c r="N5" s="16"/>
      <c r="O5" s="17"/>
    </row>
    <row r="6" ht="24.0" customHeight="1">
      <c r="A6" s="10"/>
      <c r="B6" s="11"/>
      <c r="D6" s="11"/>
      <c r="E6" s="18" t="s">
        <v>7</v>
      </c>
      <c r="F6" s="19"/>
      <c r="G6" s="20" t="s">
        <v>8</v>
      </c>
      <c r="H6" s="19"/>
      <c r="I6" s="21"/>
      <c r="J6" s="22"/>
      <c r="K6" s="22"/>
      <c r="L6" s="22"/>
      <c r="M6" s="22"/>
      <c r="N6" s="22"/>
      <c r="O6" s="23"/>
    </row>
    <row r="7" ht="19.5" customHeight="1">
      <c r="A7" s="24" t="s">
        <v>9</v>
      </c>
      <c r="B7" s="25" t="s">
        <v>10</v>
      </c>
      <c r="C7" s="26" t="s">
        <v>11</v>
      </c>
      <c r="D7" s="27" t="s">
        <v>12</v>
      </c>
      <c r="E7" s="28" t="s">
        <v>13</v>
      </c>
      <c r="F7" s="7"/>
      <c r="G7" s="29" t="s">
        <v>14</v>
      </c>
      <c r="H7" s="30" t="s">
        <v>15</v>
      </c>
      <c r="I7" s="31" t="s">
        <v>16</v>
      </c>
      <c r="J7" s="32" t="s">
        <v>17</v>
      </c>
      <c r="K7" s="11"/>
      <c r="L7" s="33" t="s">
        <v>18</v>
      </c>
      <c r="M7" s="11"/>
      <c r="N7" s="34" t="s">
        <v>19</v>
      </c>
      <c r="O7" s="35"/>
    </row>
    <row r="8" ht="19.5" customHeight="1">
      <c r="A8" s="36"/>
      <c r="B8" s="10"/>
      <c r="C8" s="37"/>
      <c r="E8" s="38"/>
      <c r="G8" s="37"/>
      <c r="H8" s="39"/>
      <c r="I8" s="11"/>
      <c r="J8" s="40" t="s">
        <v>20</v>
      </c>
      <c r="K8" s="41" t="s">
        <v>21</v>
      </c>
      <c r="L8" s="42" t="s">
        <v>20</v>
      </c>
      <c r="M8" s="43" t="s">
        <v>21</v>
      </c>
      <c r="N8" s="44" t="s">
        <v>22</v>
      </c>
      <c r="O8" s="45" t="s">
        <v>23</v>
      </c>
    </row>
    <row r="9" ht="19.5" customHeight="1">
      <c r="A9" s="46"/>
      <c r="B9" s="47"/>
      <c r="C9" s="48"/>
      <c r="D9" s="49"/>
      <c r="E9" s="15"/>
      <c r="F9" s="16"/>
      <c r="G9" s="50"/>
      <c r="H9" s="17"/>
      <c r="I9" s="35"/>
      <c r="J9" s="50"/>
      <c r="K9" s="16"/>
      <c r="L9" s="15"/>
      <c r="M9" s="50"/>
      <c r="N9" s="35"/>
      <c r="O9" s="46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>
      <c r="A10" s="52">
        <v>1.0</v>
      </c>
      <c r="B10" s="53">
        <v>1.0</v>
      </c>
      <c r="C10" s="54" t="s">
        <v>24</v>
      </c>
      <c r="D10" s="55" t="s">
        <v>25</v>
      </c>
      <c r="E10" s="56" t="s">
        <v>26</v>
      </c>
      <c r="F10" s="57"/>
      <c r="G10" s="58">
        <v>7983.0</v>
      </c>
      <c r="H10" s="59">
        <f t="shared" ref="H10:H39" si="1">G10*B10</f>
        <v>7983</v>
      </c>
      <c r="I10" s="60">
        <f t="shared" ref="I10:I39" si="2">IFS(C10="","",I10&lt;&gt;"",I10,TRUE,NOW())</f>
        <v>45785.61019</v>
      </c>
      <c r="J10" s="61" t="s">
        <v>27</v>
      </c>
      <c r="K10" s="62">
        <f t="shared" ref="K10:K39" si="3">IFS(J10="","",K10&lt;&gt;"",K10,TRUE,NOW())</f>
        <v>45785.61856</v>
      </c>
      <c r="L10" s="63" t="s">
        <v>27</v>
      </c>
      <c r="M10" s="64">
        <f t="shared" ref="M10:M39" si="4">IFS(L10="","",M10&lt;&gt;"",M10,TRUE,NOW())</f>
        <v>45785.61869</v>
      </c>
      <c r="N10" s="65" t="s">
        <v>28</v>
      </c>
      <c r="O10" s="66" t="str">
        <f t="shared" ref="O10:O39" si="5">IFS(N10="","",N10="Presupuestando","",N10="comprado","",O10&lt;&gt;"",O10,TRUE,NOW())</f>
        <v/>
      </c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</row>
    <row r="11">
      <c r="A11" s="68">
        <f t="shared" ref="A11:A39" si="6">A10+1</f>
        <v>2</v>
      </c>
      <c r="B11" s="69">
        <v>1.0</v>
      </c>
      <c r="C11" s="70" t="s">
        <v>29</v>
      </c>
      <c r="D11" s="71" t="s">
        <v>30</v>
      </c>
      <c r="E11" s="72" t="s">
        <v>31</v>
      </c>
      <c r="F11" s="39"/>
      <c r="G11" s="73"/>
      <c r="H11" s="74">
        <f t="shared" si="1"/>
        <v>0</v>
      </c>
      <c r="I11" s="62">
        <f t="shared" si="2"/>
        <v>45784.84237</v>
      </c>
      <c r="J11" s="70"/>
      <c r="K11" s="62" t="str">
        <f t="shared" si="3"/>
        <v/>
      </c>
      <c r="L11" s="63"/>
      <c r="M11" s="75" t="str">
        <f t="shared" si="4"/>
        <v/>
      </c>
      <c r="N11" s="76" t="s">
        <v>32</v>
      </c>
      <c r="O11" s="77" t="str">
        <f t="shared" si="5"/>
        <v/>
      </c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</row>
    <row r="12">
      <c r="A12" s="68">
        <f t="shared" si="6"/>
        <v>3</v>
      </c>
      <c r="B12" s="69">
        <v>2.0</v>
      </c>
      <c r="C12" s="70" t="s">
        <v>33</v>
      </c>
      <c r="D12" s="71" t="s">
        <v>34</v>
      </c>
      <c r="E12" s="78" t="s">
        <v>35</v>
      </c>
      <c r="F12" s="79"/>
      <c r="G12" s="80">
        <v>114079.0</v>
      </c>
      <c r="H12" s="59">
        <f t="shared" si="1"/>
        <v>228158</v>
      </c>
      <c r="I12" s="62">
        <f t="shared" si="2"/>
        <v>45784.84237</v>
      </c>
      <c r="J12" s="70" t="s">
        <v>27</v>
      </c>
      <c r="K12" s="62">
        <f t="shared" si="3"/>
        <v>45874.3883</v>
      </c>
      <c r="L12" s="63" t="s">
        <v>27</v>
      </c>
      <c r="M12" s="75">
        <f t="shared" si="4"/>
        <v>45874.38832</v>
      </c>
      <c r="N12" s="76" t="s">
        <v>32</v>
      </c>
      <c r="O12" s="77" t="str">
        <f t="shared" si="5"/>
        <v/>
      </c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</row>
    <row r="13">
      <c r="A13" s="68">
        <f t="shared" si="6"/>
        <v>4</v>
      </c>
      <c r="B13" s="69">
        <v>2.0</v>
      </c>
      <c r="C13" s="70" t="s">
        <v>36</v>
      </c>
      <c r="D13" s="71" t="s">
        <v>37</v>
      </c>
      <c r="E13" s="78" t="s">
        <v>38</v>
      </c>
      <c r="F13" s="79"/>
      <c r="G13" s="80">
        <v>11389.0</v>
      </c>
      <c r="H13" s="59">
        <f t="shared" si="1"/>
        <v>22778</v>
      </c>
      <c r="I13" s="62">
        <f t="shared" si="2"/>
        <v>45784.84237</v>
      </c>
      <c r="J13" s="70" t="s">
        <v>27</v>
      </c>
      <c r="K13" s="62">
        <f t="shared" si="3"/>
        <v>45923.52289</v>
      </c>
      <c r="L13" s="63" t="s">
        <v>27</v>
      </c>
      <c r="M13" s="75">
        <f t="shared" si="4"/>
        <v>45923.52291</v>
      </c>
      <c r="N13" s="76" t="s">
        <v>32</v>
      </c>
      <c r="O13" s="77" t="str">
        <f t="shared" si="5"/>
        <v/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</row>
    <row r="14">
      <c r="A14" s="68">
        <f t="shared" si="6"/>
        <v>5</v>
      </c>
      <c r="B14" s="69">
        <v>2.0</v>
      </c>
      <c r="C14" s="70" t="s">
        <v>39</v>
      </c>
      <c r="D14" s="71" t="s">
        <v>40</v>
      </c>
      <c r="E14" s="78" t="s">
        <v>41</v>
      </c>
      <c r="F14" s="79"/>
      <c r="G14" s="80">
        <v>6000.0</v>
      </c>
      <c r="H14" s="59">
        <f t="shared" si="1"/>
        <v>12000</v>
      </c>
      <c r="I14" s="62">
        <f t="shared" si="2"/>
        <v>45785.44069</v>
      </c>
      <c r="J14" s="70" t="s">
        <v>27</v>
      </c>
      <c r="K14" s="62">
        <f t="shared" si="3"/>
        <v>45785.61861</v>
      </c>
      <c r="L14" s="63" t="s">
        <v>27</v>
      </c>
      <c r="M14" s="75">
        <f t="shared" si="4"/>
        <v>45785.6187</v>
      </c>
      <c r="N14" s="76" t="s">
        <v>28</v>
      </c>
      <c r="O14" s="77" t="str">
        <f t="shared" si="5"/>
        <v/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>
      <c r="A15" s="68">
        <f t="shared" si="6"/>
        <v>6</v>
      </c>
      <c r="B15" s="69">
        <v>2.0</v>
      </c>
      <c r="C15" s="70" t="s">
        <v>42</v>
      </c>
      <c r="D15" s="81" t="s">
        <v>43</v>
      </c>
      <c r="E15" s="82" t="s">
        <v>44</v>
      </c>
      <c r="G15" s="80">
        <v>3800.0</v>
      </c>
      <c r="H15" s="59">
        <f t="shared" si="1"/>
        <v>7600</v>
      </c>
      <c r="I15" s="62">
        <f t="shared" si="2"/>
        <v>45785.453</v>
      </c>
      <c r="J15" s="70" t="s">
        <v>27</v>
      </c>
      <c r="K15" s="62">
        <f t="shared" si="3"/>
        <v>45785.61867</v>
      </c>
      <c r="L15" s="63" t="s">
        <v>27</v>
      </c>
      <c r="M15" s="75">
        <f t="shared" si="4"/>
        <v>45785.6187</v>
      </c>
      <c r="N15" s="76" t="s">
        <v>28</v>
      </c>
      <c r="O15" s="77" t="str">
        <f t="shared" si="5"/>
        <v/>
      </c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</row>
    <row r="16">
      <c r="A16" s="68">
        <f t="shared" si="6"/>
        <v>7</v>
      </c>
      <c r="B16" s="69">
        <v>2.0</v>
      </c>
      <c r="C16" s="70" t="s">
        <v>45</v>
      </c>
      <c r="D16" s="70" t="s">
        <v>46</v>
      </c>
      <c r="E16" s="78" t="s">
        <v>47</v>
      </c>
      <c r="F16" s="79"/>
      <c r="G16" s="80">
        <v>5729.0</v>
      </c>
      <c r="H16" s="59">
        <f t="shared" si="1"/>
        <v>11458</v>
      </c>
      <c r="I16" s="62">
        <f t="shared" si="2"/>
        <v>45923.42158</v>
      </c>
      <c r="J16" s="70" t="s">
        <v>27</v>
      </c>
      <c r="K16" s="62">
        <f t="shared" si="3"/>
        <v>45923.47603</v>
      </c>
      <c r="L16" s="63" t="s">
        <v>27</v>
      </c>
      <c r="M16" s="75">
        <f t="shared" si="4"/>
        <v>45923.47604</v>
      </c>
      <c r="N16" s="76" t="s">
        <v>32</v>
      </c>
      <c r="O16" s="77" t="str">
        <f t="shared" si="5"/>
        <v/>
      </c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</row>
    <row r="17">
      <c r="A17" s="68">
        <f t="shared" si="6"/>
        <v>8</v>
      </c>
      <c r="B17" s="69"/>
      <c r="C17" s="70"/>
      <c r="D17" s="83"/>
      <c r="E17" s="84"/>
      <c r="F17" s="79"/>
      <c r="G17" s="80"/>
      <c r="H17" s="59">
        <f t="shared" si="1"/>
        <v>0</v>
      </c>
      <c r="I17" s="62" t="str">
        <f t="shared" si="2"/>
        <v/>
      </c>
      <c r="J17" s="70"/>
      <c r="K17" s="62" t="str">
        <f t="shared" si="3"/>
        <v/>
      </c>
      <c r="L17" s="85"/>
      <c r="M17" s="75" t="str">
        <f t="shared" si="4"/>
        <v/>
      </c>
      <c r="N17" s="76" t="s">
        <v>32</v>
      </c>
      <c r="O17" s="77" t="str">
        <f t="shared" si="5"/>
        <v/>
      </c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</row>
    <row r="18">
      <c r="A18" s="68">
        <f t="shared" si="6"/>
        <v>9</v>
      </c>
      <c r="B18" s="69"/>
      <c r="C18" s="70"/>
      <c r="D18" s="83"/>
      <c r="E18" s="84"/>
      <c r="F18" s="79"/>
      <c r="G18" s="80"/>
      <c r="H18" s="59">
        <f t="shared" si="1"/>
        <v>0</v>
      </c>
      <c r="I18" s="62" t="str">
        <f t="shared" si="2"/>
        <v/>
      </c>
      <c r="J18" s="70"/>
      <c r="K18" s="62" t="str">
        <f t="shared" si="3"/>
        <v/>
      </c>
      <c r="L18" s="85"/>
      <c r="M18" s="75" t="str">
        <f t="shared" si="4"/>
        <v/>
      </c>
      <c r="N18" s="76" t="s">
        <v>32</v>
      </c>
      <c r="O18" s="77" t="str">
        <f t="shared" si="5"/>
        <v/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>
      <c r="A19" s="68">
        <f t="shared" si="6"/>
        <v>10</v>
      </c>
      <c r="B19" s="69"/>
      <c r="C19" s="70"/>
      <c r="D19" s="83"/>
      <c r="E19" s="86"/>
      <c r="F19" s="79"/>
      <c r="G19" s="80"/>
      <c r="H19" s="59">
        <f t="shared" si="1"/>
        <v>0</v>
      </c>
      <c r="I19" s="62" t="str">
        <f t="shared" si="2"/>
        <v/>
      </c>
      <c r="J19" s="70"/>
      <c r="K19" s="62" t="str">
        <f t="shared" si="3"/>
        <v/>
      </c>
      <c r="L19" s="85"/>
      <c r="M19" s="75" t="str">
        <f t="shared" si="4"/>
        <v/>
      </c>
      <c r="N19" s="76" t="s">
        <v>32</v>
      </c>
      <c r="O19" s="77" t="str">
        <f t="shared" si="5"/>
        <v/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>
      <c r="A20" s="68">
        <f t="shared" si="6"/>
        <v>11</v>
      </c>
      <c r="B20" s="87"/>
      <c r="C20" s="88"/>
      <c r="D20" s="88"/>
      <c r="E20" s="89"/>
      <c r="G20" s="90"/>
      <c r="H20" s="59">
        <f t="shared" si="1"/>
        <v>0</v>
      </c>
      <c r="I20" s="62" t="str">
        <f t="shared" si="2"/>
        <v/>
      </c>
      <c r="J20" s="70"/>
      <c r="K20" s="62" t="str">
        <f t="shared" si="3"/>
        <v/>
      </c>
      <c r="L20" s="85"/>
      <c r="M20" s="75" t="str">
        <f t="shared" si="4"/>
        <v/>
      </c>
      <c r="N20" s="76" t="s">
        <v>32</v>
      </c>
      <c r="O20" s="77" t="str">
        <f t="shared" si="5"/>
        <v/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>
      <c r="A21" s="68">
        <f t="shared" si="6"/>
        <v>12</v>
      </c>
      <c r="B21" s="87"/>
      <c r="C21" s="88"/>
      <c r="D21" s="91"/>
      <c r="E21" s="84"/>
      <c r="F21" s="79"/>
      <c r="G21" s="80"/>
      <c r="H21" s="59">
        <f t="shared" si="1"/>
        <v>0</v>
      </c>
      <c r="I21" s="62" t="str">
        <f t="shared" si="2"/>
        <v/>
      </c>
      <c r="J21" s="70"/>
      <c r="K21" s="62" t="str">
        <f t="shared" si="3"/>
        <v/>
      </c>
      <c r="L21" s="85"/>
      <c r="M21" s="75" t="str">
        <f t="shared" si="4"/>
        <v/>
      </c>
      <c r="N21" s="76" t="s">
        <v>32</v>
      </c>
      <c r="O21" s="77" t="str">
        <f t="shared" si="5"/>
        <v/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>
      <c r="A22" s="68">
        <f t="shared" si="6"/>
        <v>13</v>
      </c>
      <c r="B22" s="87"/>
      <c r="C22" s="88"/>
      <c r="D22" s="88"/>
      <c r="E22" s="84"/>
      <c r="F22" s="79"/>
      <c r="G22" s="80"/>
      <c r="H22" s="59">
        <f t="shared" si="1"/>
        <v>0</v>
      </c>
      <c r="I22" s="62" t="str">
        <f t="shared" si="2"/>
        <v/>
      </c>
      <c r="J22" s="70"/>
      <c r="K22" s="62" t="str">
        <f t="shared" si="3"/>
        <v/>
      </c>
      <c r="L22" s="85"/>
      <c r="M22" s="75" t="str">
        <f t="shared" si="4"/>
        <v/>
      </c>
      <c r="N22" s="76" t="s">
        <v>32</v>
      </c>
      <c r="O22" s="77" t="str">
        <f t="shared" si="5"/>
        <v/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>
      <c r="A23" s="68">
        <f t="shared" si="6"/>
        <v>14</v>
      </c>
      <c r="B23" s="87"/>
      <c r="C23" s="88"/>
      <c r="D23" s="88"/>
      <c r="E23" s="84"/>
      <c r="F23" s="79"/>
      <c r="G23" s="80"/>
      <c r="H23" s="59">
        <f t="shared" si="1"/>
        <v>0</v>
      </c>
      <c r="I23" s="62" t="str">
        <f t="shared" si="2"/>
        <v/>
      </c>
      <c r="J23" s="70"/>
      <c r="K23" s="62" t="str">
        <f t="shared" si="3"/>
        <v/>
      </c>
      <c r="L23" s="85"/>
      <c r="M23" s="75" t="str">
        <f t="shared" si="4"/>
        <v/>
      </c>
      <c r="N23" s="76" t="s">
        <v>32</v>
      </c>
      <c r="O23" s="77" t="str">
        <f t="shared" si="5"/>
        <v/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>
      <c r="A24" s="68">
        <f t="shared" si="6"/>
        <v>15</v>
      </c>
      <c r="B24" s="87"/>
      <c r="C24" s="88"/>
      <c r="D24" s="88"/>
      <c r="E24" s="84"/>
      <c r="F24" s="79"/>
      <c r="G24" s="80"/>
      <c r="H24" s="59">
        <f t="shared" si="1"/>
        <v>0</v>
      </c>
      <c r="I24" s="62" t="str">
        <f t="shared" si="2"/>
        <v/>
      </c>
      <c r="J24" s="70"/>
      <c r="K24" s="62" t="str">
        <f t="shared" si="3"/>
        <v/>
      </c>
      <c r="L24" s="85"/>
      <c r="M24" s="75" t="str">
        <f t="shared" si="4"/>
        <v/>
      </c>
      <c r="N24" s="76" t="s">
        <v>32</v>
      </c>
      <c r="O24" s="77" t="str">
        <f t="shared" si="5"/>
        <v/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>
      <c r="A25" s="68">
        <f t="shared" si="6"/>
        <v>16</v>
      </c>
      <c r="B25" s="87"/>
      <c r="C25" s="88"/>
      <c r="D25" s="88"/>
      <c r="E25" s="84"/>
      <c r="F25" s="79"/>
      <c r="G25" s="80"/>
      <c r="H25" s="59">
        <f t="shared" si="1"/>
        <v>0</v>
      </c>
      <c r="I25" s="62" t="str">
        <f t="shared" si="2"/>
        <v/>
      </c>
      <c r="J25" s="70"/>
      <c r="K25" s="62" t="str">
        <f t="shared" si="3"/>
        <v/>
      </c>
      <c r="L25" s="85"/>
      <c r="M25" s="75" t="str">
        <f t="shared" si="4"/>
        <v/>
      </c>
      <c r="N25" s="76" t="s">
        <v>32</v>
      </c>
      <c r="O25" s="77" t="str">
        <f t="shared" si="5"/>
        <v/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</row>
    <row r="26">
      <c r="A26" s="68">
        <f t="shared" si="6"/>
        <v>17</v>
      </c>
      <c r="B26" s="87"/>
      <c r="C26" s="88"/>
      <c r="D26" s="88"/>
      <c r="F26" s="92"/>
      <c r="G26" s="90"/>
      <c r="H26" s="59">
        <f t="shared" si="1"/>
        <v>0</v>
      </c>
      <c r="I26" s="62" t="str">
        <f t="shared" si="2"/>
        <v/>
      </c>
      <c r="J26" s="70"/>
      <c r="K26" s="62" t="str">
        <f t="shared" si="3"/>
        <v/>
      </c>
      <c r="L26" s="85"/>
      <c r="M26" s="75" t="str">
        <f t="shared" si="4"/>
        <v/>
      </c>
      <c r="N26" s="76" t="s">
        <v>32</v>
      </c>
      <c r="O26" s="77" t="str">
        <f t="shared" si="5"/>
        <v/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</row>
    <row r="27">
      <c r="A27" s="68">
        <f t="shared" si="6"/>
        <v>18</v>
      </c>
      <c r="B27" s="87"/>
      <c r="C27" s="88"/>
      <c r="D27" s="88"/>
      <c r="E27" s="93"/>
      <c r="F27" s="79"/>
      <c r="G27" s="90"/>
      <c r="H27" s="59">
        <f t="shared" si="1"/>
        <v>0</v>
      </c>
      <c r="I27" s="62" t="str">
        <f t="shared" si="2"/>
        <v/>
      </c>
      <c r="J27" s="70"/>
      <c r="K27" s="62" t="str">
        <f t="shared" si="3"/>
        <v/>
      </c>
      <c r="L27" s="85"/>
      <c r="M27" s="75" t="str">
        <f t="shared" si="4"/>
        <v/>
      </c>
      <c r="N27" s="76" t="s">
        <v>32</v>
      </c>
      <c r="O27" s="77" t="str">
        <f t="shared" si="5"/>
        <v/>
      </c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>
      <c r="A28" s="68">
        <f t="shared" si="6"/>
        <v>19</v>
      </c>
      <c r="B28" s="87"/>
      <c r="C28" s="88"/>
      <c r="D28" s="88"/>
      <c r="E28" s="93"/>
      <c r="F28" s="79"/>
      <c r="G28" s="80"/>
      <c r="H28" s="59">
        <f t="shared" si="1"/>
        <v>0</v>
      </c>
      <c r="I28" s="62" t="str">
        <f t="shared" si="2"/>
        <v/>
      </c>
      <c r="J28" s="70"/>
      <c r="K28" s="62" t="str">
        <f t="shared" si="3"/>
        <v/>
      </c>
      <c r="L28" s="85"/>
      <c r="M28" s="75" t="str">
        <f t="shared" si="4"/>
        <v/>
      </c>
      <c r="N28" s="76" t="s">
        <v>32</v>
      </c>
      <c r="O28" s="77" t="str">
        <f t="shared" si="5"/>
        <v/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>
      <c r="A29" s="68">
        <f t="shared" si="6"/>
        <v>20</v>
      </c>
      <c r="B29" s="87"/>
      <c r="C29" s="88"/>
      <c r="D29" s="88"/>
      <c r="E29" s="93"/>
      <c r="F29" s="79"/>
      <c r="G29" s="80"/>
      <c r="H29" s="59">
        <f t="shared" si="1"/>
        <v>0</v>
      </c>
      <c r="I29" s="62" t="str">
        <f t="shared" si="2"/>
        <v/>
      </c>
      <c r="J29" s="70"/>
      <c r="K29" s="62" t="str">
        <f t="shared" si="3"/>
        <v/>
      </c>
      <c r="L29" s="85"/>
      <c r="M29" s="75" t="str">
        <f t="shared" si="4"/>
        <v/>
      </c>
      <c r="N29" s="76" t="s">
        <v>32</v>
      </c>
      <c r="O29" s="77" t="str">
        <f t="shared" si="5"/>
        <v/>
      </c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</row>
    <row r="30">
      <c r="A30" s="68">
        <f t="shared" si="6"/>
        <v>21</v>
      </c>
      <c r="B30" s="87"/>
      <c r="C30" s="88"/>
      <c r="D30" s="88"/>
      <c r="E30" s="93"/>
      <c r="F30" s="94"/>
      <c r="G30" s="80"/>
      <c r="H30" s="59">
        <f t="shared" si="1"/>
        <v>0</v>
      </c>
      <c r="I30" s="62" t="str">
        <f t="shared" si="2"/>
        <v/>
      </c>
      <c r="J30" s="70"/>
      <c r="K30" s="62" t="str">
        <f t="shared" si="3"/>
        <v/>
      </c>
      <c r="L30" s="85"/>
      <c r="M30" s="75" t="str">
        <f t="shared" si="4"/>
        <v/>
      </c>
      <c r="N30" s="76" t="s">
        <v>32</v>
      </c>
      <c r="O30" s="77" t="str">
        <f t="shared" si="5"/>
        <v/>
      </c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</row>
    <row r="31">
      <c r="A31" s="68">
        <f t="shared" si="6"/>
        <v>22</v>
      </c>
      <c r="B31" s="87"/>
      <c r="C31" s="88"/>
      <c r="D31" s="88"/>
      <c r="E31" s="95"/>
      <c r="F31" s="79"/>
      <c r="G31" s="80"/>
      <c r="H31" s="59">
        <f t="shared" si="1"/>
        <v>0</v>
      </c>
      <c r="I31" s="62" t="str">
        <f t="shared" si="2"/>
        <v/>
      </c>
      <c r="J31" s="70"/>
      <c r="K31" s="62" t="str">
        <f t="shared" si="3"/>
        <v/>
      </c>
      <c r="L31" s="85"/>
      <c r="M31" s="75" t="str">
        <f t="shared" si="4"/>
        <v/>
      </c>
      <c r="N31" s="76" t="s">
        <v>32</v>
      </c>
      <c r="O31" s="77" t="str">
        <f t="shared" si="5"/>
        <v/>
      </c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>
      <c r="A32" s="68">
        <f t="shared" si="6"/>
        <v>23</v>
      </c>
      <c r="B32" s="87"/>
      <c r="C32" s="88"/>
      <c r="D32" s="88"/>
      <c r="E32" s="95"/>
      <c r="F32" s="79"/>
      <c r="G32" s="80"/>
      <c r="H32" s="59">
        <f t="shared" si="1"/>
        <v>0</v>
      </c>
      <c r="I32" s="62" t="str">
        <f t="shared" si="2"/>
        <v/>
      </c>
      <c r="J32" s="70"/>
      <c r="K32" s="62" t="str">
        <f t="shared" si="3"/>
        <v/>
      </c>
      <c r="L32" s="85"/>
      <c r="M32" s="75" t="str">
        <f t="shared" si="4"/>
        <v/>
      </c>
      <c r="N32" s="76" t="s">
        <v>32</v>
      </c>
      <c r="O32" s="77" t="str">
        <f t="shared" si="5"/>
        <v/>
      </c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</row>
    <row r="33">
      <c r="A33" s="68">
        <f t="shared" si="6"/>
        <v>24</v>
      </c>
      <c r="B33" s="87"/>
      <c r="C33" s="88"/>
      <c r="D33" s="88"/>
      <c r="E33" s="95"/>
      <c r="F33" s="79"/>
      <c r="G33" s="80"/>
      <c r="H33" s="59">
        <f t="shared" si="1"/>
        <v>0</v>
      </c>
      <c r="I33" s="62" t="str">
        <f t="shared" si="2"/>
        <v/>
      </c>
      <c r="J33" s="70"/>
      <c r="K33" s="62" t="str">
        <f t="shared" si="3"/>
        <v/>
      </c>
      <c r="L33" s="85"/>
      <c r="M33" s="75" t="str">
        <f t="shared" si="4"/>
        <v/>
      </c>
      <c r="N33" s="76" t="s">
        <v>32</v>
      </c>
      <c r="O33" s="77" t="str">
        <f t="shared" si="5"/>
        <v/>
      </c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</row>
    <row r="34">
      <c r="A34" s="68">
        <f t="shared" si="6"/>
        <v>25</v>
      </c>
      <c r="B34" s="87"/>
      <c r="C34" s="88"/>
      <c r="D34" s="91"/>
      <c r="E34" s="95"/>
      <c r="F34" s="79"/>
      <c r="G34" s="80"/>
      <c r="H34" s="59">
        <f t="shared" si="1"/>
        <v>0</v>
      </c>
      <c r="I34" s="62" t="str">
        <f t="shared" si="2"/>
        <v/>
      </c>
      <c r="J34" s="70"/>
      <c r="K34" s="62" t="str">
        <f t="shared" si="3"/>
        <v/>
      </c>
      <c r="L34" s="85"/>
      <c r="M34" s="75" t="str">
        <f t="shared" si="4"/>
        <v/>
      </c>
      <c r="N34" s="76" t="s">
        <v>32</v>
      </c>
      <c r="O34" s="77" t="str">
        <f t="shared" si="5"/>
        <v/>
      </c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</row>
    <row r="35">
      <c r="A35" s="68">
        <f t="shared" si="6"/>
        <v>26</v>
      </c>
      <c r="B35" s="87"/>
      <c r="C35" s="88"/>
      <c r="D35" s="88"/>
      <c r="E35" s="95"/>
      <c r="F35" s="79"/>
      <c r="G35" s="80"/>
      <c r="H35" s="59">
        <f t="shared" si="1"/>
        <v>0</v>
      </c>
      <c r="I35" s="62" t="str">
        <f t="shared" si="2"/>
        <v/>
      </c>
      <c r="J35" s="70"/>
      <c r="K35" s="62" t="str">
        <f t="shared" si="3"/>
        <v/>
      </c>
      <c r="L35" s="85"/>
      <c r="M35" s="75" t="str">
        <f t="shared" si="4"/>
        <v/>
      </c>
      <c r="N35" s="76" t="s">
        <v>32</v>
      </c>
      <c r="O35" s="77" t="str">
        <f t="shared" si="5"/>
        <v/>
      </c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</row>
    <row r="36">
      <c r="A36" s="68">
        <f t="shared" si="6"/>
        <v>27</v>
      </c>
      <c r="B36" s="87"/>
      <c r="C36" s="88"/>
      <c r="D36" s="88"/>
      <c r="E36" s="95"/>
      <c r="F36" s="79"/>
      <c r="G36" s="80"/>
      <c r="H36" s="59">
        <f t="shared" si="1"/>
        <v>0</v>
      </c>
      <c r="I36" s="62" t="str">
        <f t="shared" si="2"/>
        <v/>
      </c>
      <c r="J36" s="70"/>
      <c r="K36" s="62" t="str">
        <f t="shared" si="3"/>
        <v/>
      </c>
      <c r="L36" s="85"/>
      <c r="M36" s="75" t="str">
        <f t="shared" si="4"/>
        <v/>
      </c>
      <c r="N36" s="76" t="s">
        <v>32</v>
      </c>
      <c r="O36" s="77" t="str">
        <f t="shared" si="5"/>
        <v/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</row>
    <row r="37">
      <c r="A37" s="68">
        <f t="shared" si="6"/>
        <v>28</v>
      </c>
      <c r="B37" s="87"/>
      <c r="C37" s="88"/>
      <c r="D37" s="91"/>
      <c r="E37" s="95"/>
      <c r="F37" s="79"/>
      <c r="G37" s="80"/>
      <c r="H37" s="59">
        <f t="shared" si="1"/>
        <v>0</v>
      </c>
      <c r="I37" s="62" t="str">
        <f t="shared" si="2"/>
        <v/>
      </c>
      <c r="J37" s="70"/>
      <c r="K37" s="62" t="str">
        <f t="shared" si="3"/>
        <v/>
      </c>
      <c r="L37" s="85"/>
      <c r="M37" s="75" t="str">
        <f t="shared" si="4"/>
        <v/>
      </c>
      <c r="N37" s="76" t="s">
        <v>32</v>
      </c>
      <c r="O37" s="77" t="str">
        <f t="shared" si="5"/>
        <v/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</row>
    <row r="38">
      <c r="A38" s="68">
        <f t="shared" si="6"/>
        <v>29</v>
      </c>
      <c r="B38" s="87"/>
      <c r="C38" s="88"/>
      <c r="D38" s="91"/>
      <c r="E38" s="95"/>
      <c r="F38" s="79"/>
      <c r="G38" s="80"/>
      <c r="H38" s="59">
        <f t="shared" si="1"/>
        <v>0</v>
      </c>
      <c r="I38" s="62" t="str">
        <f t="shared" si="2"/>
        <v/>
      </c>
      <c r="J38" s="70"/>
      <c r="K38" s="62" t="str">
        <f t="shared" si="3"/>
        <v/>
      </c>
      <c r="L38" s="85"/>
      <c r="M38" s="75" t="str">
        <f t="shared" si="4"/>
        <v/>
      </c>
      <c r="N38" s="76" t="s">
        <v>32</v>
      </c>
      <c r="O38" s="77" t="str">
        <f t="shared" si="5"/>
        <v/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</row>
    <row r="39">
      <c r="A39" s="96">
        <f t="shared" si="6"/>
        <v>30</v>
      </c>
      <c r="B39" s="97"/>
      <c r="C39" s="98"/>
      <c r="D39" s="99"/>
      <c r="E39" s="100"/>
      <c r="F39" s="101"/>
      <c r="G39" s="102"/>
      <c r="H39" s="59">
        <f t="shared" si="1"/>
        <v>0</v>
      </c>
      <c r="I39" s="103" t="str">
        <f t="shared" si="2"/>
        <v/>
      </c>
      <c r="J39" s="104"/>
      <c r="K39" s="103" t="str">
        <f t="shared" si="3"/>
        <v/>
      </c>
      <c r="L39" s="105"/>
      <c r="M39" s="106" t="str">
        <f t="shared" si="4"/>
        <v/>
      </c>
      <c r="N39" s="107" t="s">
        <v>32</v>
      </c>
      <c r="O39" s="108" t="str">
        <f t="shared" si="5"/>
        <v/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</row>
    <row r="40">
      <c r="A40" s="1"/>
      <c r="B40" s="1"/>
      <c r="C40" s="1"/>
      <c r="D40" s="1"/>
      <c r="G40" s="109" t="s">
        <v>48</v>
      </c>
      <c r="H40" s="110">
        <f>SUM(H10:H39)</f>
        <v>289977</v>
      </c>
      <c r="I40" s="111"/>
      <c r="J40" s="112" t="s">
        <v>49</v>
      </c>
      <c r="K40" s="113">
        <f>SUMIF(N10:N39 , "Comprado", H10:H39)</f>
        <v>27583</v>
      </c>
      <c r="L40" s="111"/>
    </row>
    <row r="41">
      <c r="A41" s="114"/>
      <c r="G41" s="115"/>
      <c r="H41" s="111"/>
      <c r="I41" s="111"/>
      <c r="J41" s="111"/>
      <c r="K41" s="111"/>
      <c r="L41" s="11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</sheetData>
  <mergeCells count="55">
    <mergeCell ref="E33:F33"/>
    <mergeCell ref="E34:F34"/>
    <mergeCell ref="E35:F35"/>
    <mergeCell ref="E36:F36"/>
    <mergeCell ref="E37:F37"/>
    <mergeCell ref="E38:F38"/>
    <mergeCell ref="E39:F39"/>
    <mergeCell ref="E24:F24"/>
    <mergeCell ref="E25:F25"/>
    <mergeCell ref="E27:F27"/>
    <mergeCell ref="E28:F28"/>
    <mergeCell ref="E29:F29"/>
    <mergeCell ref="E31:F31"/>
    <mergeCell ref="E32:F32"/>
    <mergeCell ref="A2:O2"/>
    <mergeCell ref="A4:B6"/>
    <mergeCell ref="C4:D6"/>
    <mergeCell ref="E4:H4"/>
    <mergeCell ref="I4:O5"/>
    <mergeCell ref="E5:F5"/>
    <mergeCell ref="G5:H5"/>
    <mergeCell ref="I6:O6"/>
    <mergeCell ref="K8:K9"/>
    <mergeCell ref="L8:L9"/>
    <mergeCell ref="M8:M9"/>
    <mergeCell ref="N8:N9"/>
    <mergeCell ref="G7:G9"/>
    <mergeCell ref="H7:H9"/>
    <mergeCell ref="I7:I9"/>
    <mergeCell ref="J7:K7"/>
    <mergeCell ref="L7:M7"/>
    <mergeCell ref="N7:O7"/>
    <mergeCell ref="J8:J9"/>
    <mergeCell ref="O8:O9"/>
    <mergeCell ref="E6:F6"/>
    <mergeCell ref="G6:H6"/>
    <mergeCell ref="A7:A9"/>
    <mergeCell ref="B7:B9"/>
    <mergeCell ref="C7:C9"/>
    <mergeCell ref="D7:D9"/>
    <mergeCell ref="E7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</mergeCells>
  <dataValidations>
    <dataValidation type="list" allowBlank="1" showErrorMessage="1" sqref="N10:N39">
      <formula1>"Presupuestando,Comprado,Entregado"</formula1>
    </dataValidation>
  </dataValidations>
  <hyperlinks>
    <hyperlink r:id="rId1" ref="E10"/>
    <hyperlink r:id="rId2" ref="E11"/>
    <hyperlink r:id="rId3" ref="E12"/>
    <hyperlink r:id="rId4" ref="E13"/>
    <hyperlink r:id="rId5" location="polycard_client=recommendations_vip-v2p&amp;reco_backend=ranker_retrieval_online_vpp_v2p_coldstart&amp;reco_model=rk_online_v0_retsys_vpp_v2p&amp;reco_client=vip-v2p&amp;reco_item_pos=0&amp;reco_backend_type=low_level&amp;reco_id=373ff96e-1913-4791-b310-ade69f28bf00" ref="E14"/>
    <hyperlink r:id="rId6" location="polycard_client=search-nordic&amp;position=5&amp;search_layout=stack&amp;type=item&amp;tracking_id=77a38f0d-ace9-46f6-9482-db2752971982&amp;wid=MLA1292492331&amp;sid=search" ref="E15"/>
    <hyperlink r:id="rId7" ref="E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